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BOQ" sheetId="2" r:id="rId6"/>
    <sheet state="visible" name="Sheet2" sheetId="3" r:id="rId7"/>
    <sheet state="visible" name="Sheet3" sheetId="4" r:id="rId8"/>
  </sheets>
  <definedNames/>
  <calcPr/>
</workbook>
</file>

<file path=xl/sharedStrings.xml><?xml version="1.0" encoding="utf-8"?>
<sst xmlns="http://schemas.openxmlformats.org/spreadsheetml/2006/main" count="78" uniqueCount="54">
  <si>
    <t>CLIENT</t>
  </si>
  <si>
    <t>:</t>
  </si>
  <si>
    <t>R Production</t>
  </si>
  <si>
    <t>CONTACT</t>
  </si>
  <si>
    <t>Bpk. Nyoman Kartu</t>
  </si>
  <si>
    <t>OFFICE ADRESS</t>
  </si>
  <si>
    <t>Jl. Pulau Roti Gang 1 No. 9 Pedungan</t>
  </si>
  <si>
    <t>ADDRESS</t>
  </si>
  <si>
    <t>PHONE</t>
  </si>
  <si>
    <t>081338277098</t>
  </si>
  <si>
    <t>EMAIL</t>
  </si>
  <si>
    <t>pravensound741@gmail.com</t>
  </si>
  <si>
    <t>+62 813-3776-0221</t>
  </si>
  <si>
    <t>BANK ACCOUNT</t>
  </si>
  <si>
    <t>BCA</t>
  </si>
  <si>
    <t>PROJECT</t>
  </si>
  <si>
    <t>EVENT WEDDING</t>
  </si>
  <si>
    <t>TGL  September - okt 2025</t>
  </si>
  <si>
    <t>an. Eka Sutrisna Putra</t>
  </si>
  <si>
    <t>INVOICE</t>
  </si>
  <si>
    <t>NO : 05/PVB/INV/IX/2025</t>
  </si>
  <si>
    <t>No</t>
  </si>
  <si>
    <t>Discription</t>
  </si>
  <si>
    <t>Volume Qty /Unit</t>
  </si>
  <si>
    <t>Day</t>
  </si>
  <si>
    <t>Unit Price
(Rp)</t>
  </si>
  <si>
    <t>Jumlah 
(Rp)</t>
  </si>
  <si>
    <t>weding Yanik 23 sept 2025</t>
  </si>
  <si>
    <t>TV 55"</t>
  </si>
  <si>
    <t>unit</t>
  </si>
  <si>
    <t>HDMI Wireless</t>
  </si>
  <si>
    <t>Gria Nyaringan 27 Sept 2025</t>
  </si>
  <si>
    <t>Gria Pekandelan &amp; Gria Nyaringan 3 okt 2025</t>
  </si>
  <si>
    <t>LED videotron 2x3m</t>
  </si>
  <si>
    <t>set</t>
  </si>
  <si>
    <t>Lighting Parled</t>
  </si>
  <si>
    <t>ongkos pindah TV</t>
  </si>
  <si>
    <t>transport</t>
  </si>
  <si>
    <t>Sekar Jambu 11 okt 2025</t>
  </si>
  <si>
    <t>LED Videotron 2x3m</t>
  </si>
  <si>
    <t>Linghting Parled</t>
  </si>
  <si>
    <t>Gria tegal jingga</t>
  </si>
  <si>
    <t xml:space="preserve">TV 55" </t>
  </si>
  <si>
    <t xml:space="preserve">Sub Total </t>
  </si>
  <si>
    <t>DEPOSITE/DISCOUNT</t>
  </si>
  <si>
    <t xml:space="preserve">Total Of payment </t>
  </si>
  <si>
    <t>NOTE</t>
  </si>
  <si>
    <t>Termin Pembayaran :</t>
  </si>
  <si>
    <t>Denpasar, 7 Oktober 2025</t>
  </si>
  <si>
    <t xml:space="preserve">Tahap 1 = 50% dari total of payment </t>
  </si>
  <si>
    <t>Praven Bali Production</t>
  </si>
  <si>
    <t>Tahap 2 = 50% dari total of payment pada Pelunasan Saat Pengiriman dan Brg sudah Dicek Berfungsi Normal</t>
  </si>
  <si>
    <t>TERBILANG</t>
  </si>
  <si>
    <t>Eka Sutrisna Putra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</si>
</sst>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* #,##0.00_);_(* \(#,##0.00\);_(* &quot;-&quot;??_);_(@_)"/>
    <numFmt numFmtId="165" formatCode="_(* #,##0_);_(* \(#,##0\);_(* &quot;-&quot;??_);_(@_)"/>
    <numFmt numFmtId="166" formatCode="_([$IDR]\ * #,##0_);_([$IDR]\ * \(#,##0\);_([$IDR]\ * &quot;-&quot;??_);_(@_)"/>
    <numFmt numFmtId="167" formatCode="_([$IDR]\ * #,##0.00_);_([$IDR]\ * \(#,##0.00\);_([$IDR]\ * &quot;-&quot;??_);_(@_)"/>
  </numFmts>
  <fonts count="17">
    <font>
      <sz val="10.0"/>
      <color rgb="FF000000"/>
      <name val="Calibri"/>
      <scheme val="minor"/>
    </font>
    <font>
      <sz val="10.0"/>
      <color theme="1"/>
      <name val="Calibri"/>
    </font>
    <font>
      <sz val="8.0"/>
      <color theme="1"/>
      <name val="Calibri"/>
    </font>
    <font>
      <u/>
      <sz val="8.0"/>
      <color theme="10"/>
      <name val="Calibri"/>
    </font>
    <font>
      <u/>
      <sz val="8.0"/>
      <color theme="10"/>
      <name val="Calibri"/>
    </font>
    <font>
      <b/>
      <sz val="8.0"/>
      <color theme="1"/>
      <name val="Calibri"/>
    </font>
    <font>
      <b/>
      <sz val="9.0"/>
      <color theme="1"/>
      <name val="Calibri"/>
    </font>
    <font/>
    <font>
      <b/>
      <sz val="10.0"/>
      <color theme="1"/>
      <name val="Calibri"/>
    </font>
    <font>
      <b/>
      <sz val="9.0"/>
      <color theme="0"/>
      <name val="Calibri"/>
    </font>
    <font>
      <sz val="9.0"/>
      <color theme="1"/>
      <name val="Calibri"/>
    </font>
    <font>
      <b/>
      <i/>
      <sz val="8.0"/>
      <color theme="1"/>
      <name val="Calibri"/>
    </font>
    <font>
      <sz val="8.0"/>
      <color rgb="FF494949"/>
      <name val="Calibri"/>
    </font>
    <font>
      <b/>
      <sz val="8.0"/>
      <color theme="0"/>
      <name val="Calibri"/>
    </font>
    <font>
      <i/>
      <sz val="8.0"/>
      <color theme="1"/>
      <name val="Calibri"/>
    </font>
    <font>
      <b/>
      <i/>
      <u/>
      <sz val="8.0"/>
      <color theme="1"/>
      <name val="Droid Sans Mono"/>
    </font>
    <font>
      <b/>
      <i/>
      <sz val="10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CA904"/>
        <bgColor rgb="FFFCA904"/>
      </patternFill>
    </fill>
    <fill>
      <patternFill patternType="solid">
        <fgColor theme="1"/>
        <bgColor theme="1"/>
      </patternFill>
    </fill>
  </fills>
  <borders count="3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</border>
    <border>
      <left style="dotted">
        <color rgb="FF000000"/>
      </left>
      <top style="thin">
        <color rgb="FF000000"/>
      </top>
    </border>
    <border>
      <top style="thin">
        <color rgb="FF000000"/>
      </top>
    </border>
    <border>
      <right style="dotted">
        <color rgb="FF000000"/>
      </right>
    </border>
    <border>
      <left style="dotted">
        <color rgb="FF000000"/>
      </left>
      <right style="dotted">
        <color rgb="FF000000"/>
      </right>
    </border>
    <border>
      <left style="dotted">
        <color rgb="FF000000"/>
      </left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 style="dotted">
        <color rgb="FF000000"/>
      </left>
      <bottom style="dotted">
        <color rgb="FF000000"/>
      </bottom>
    </border>
    <border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left style="dotted">
        <color rgb="FF000000"/>
      </left>
      <bottom style="thin">
        <color rgb="FF000000"/>
      </bottom>
    </border>
    <border>
      <bottom style="thin">
        <color rgb="FF000000"/>
      </bottom>
    </border>
    <border>
      <right style="dotted">
        <color rgb="FF000000"/>
      </right>
      <bottom style="thin">
        <color rgb="FF000000"/>
      </bottom>
    </border>
    <border>
      <left/>
      <top style="dotted">
        <color rgb="FF000000"/>
      </top>
      <bottom/>
    </border>
    <border>
      <right/>
      <top style="dotted">
        <color rgb="FF000000"/>
      </top>
      <bottom/>
    </border>
    <border>
      <left/>
      <top style="thin">
        <color rgb="FF000000"/>
      </top>
      <bottom/>
    </border>
    <border>
      <top style="thin">
        <color rgb="FF000000"/>
      </top>
      <bottom/>
    </border>
    <border>
      <right style="dotted">
        <color rgb="FF000000"/>
      </right>
      <top style="thin">
        <color rgb="FF000000"/>
      </top>
      <bottom/>
    </border>
    <border>
      <left/>
      <top/>
      <bottom style="dotted">
        <color rgb="FF000000"/>
      </bottom>
    </border>
    <border>
      <right/>
      <top/>
      <bottom style="dotted">
        <color rgb="FF000000"/>
      </bottom>
    </border>
    <border>
      <top/>
      <bottom style="dotted">
        <color rgb="FF000000"/>
      </bottom>
    </border>
    <border>
      <right style="dotted">
        <color rgb="FF000000"/>
      </right>
      <top/>
      <bottom style="dotted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1" numFmtId="164" xfId="0" applyFont="1" applyNumberFormat="1"/>
    <xf borderId="0" fillId="0" fontId="2" numFmtId="0" xfId="0" applyFont="1"/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right"/>
    </xf>
    <xf quotePrefix="1" borderId="0" fillId="0" fontId="2" numFmtId="0" xfId="0" applyAlignment="1" applyFont="1">
      <alignment horizontal="left"/>
    </xf>
    <xf borderId="0" fillId="0" fontId="3" numFmtId="0" xfId="0" applyFont="1"/>
    <xf borderId="0" fillId="0" fontId="4" numFmtId="0" xfId="0" applyAlignment="1" applyFont="1">
      <alignment horizontal="left"/>
    </xf>
    <xf quotePrefix="1" borderId="0" fillId="0" fontId="2" numFmtId="0" xfId="0" applyFont="1"/>
    <xf borderId="0" fillId="0" fontId="5" numFmtId="0" xfId="0" applyAlignment="1" applyFont="1">
      <alignment horizontal="left"/>
    </xf>
    <xf borderId="0" fillId="0" fontId="2" numFmtId="15" xfId="0" applyAlignment="1" applyFont="1" applyNumberFormat="1">
      <alignment horizontal="left"/>
    </xf>
    <xf borderId="0" fillId="0" fontId="5" numFmtId="0" xfId="0" applyAlignment="1" applyFont="1">
      <alignment horizontal="left" shrinkToFit="0" vertical="top" wrapText="1"/>
    </xf>
    <xf borderId="0" fillId="0" fontId="1" numFmtId="0" xfId="0" applyAlignment="1" applyFont="1">
      <alignment horizontal="left"/>
    </xf>
    <xf borderId="0" fillId="0" fontId="1" numFmtId="0" xfId="0" applyAlignment="1" applyFont="1">
      <alignment shrinkToFit="0" vertical="top" wrapText="1"/>
    </xf>
    <xf borderId="1" fillId="2" fontId="6" numFmtId="0" xfId="0" applyAlignment="1" applyBorder="1" applyFill="1" applyFont="1">
      <alignment horizontal="center"/>
    </xf>
    <xf borderId="2" fillId="0" fontId="7" numFmtId="0" xfId="0" applyBorder="1" applyFont="1"/>
    <xf borderId="3" fillId="0" fontId="7" numFmtId="0" xfId="0" applyBorder="1" applyFont="1"/>
    <xf borderId="4" fillId="2" fontId="6" numFmtId="0" xfId="0" applyBorder="1" applyFont="1"/>
    <xf borderId="5" fillId="2" fontId="6" numFmtId="0" xfId="0" applyAlignment="1" applyBorder="1" applyFont="1">
      <alignment horizontal="right" vertical="center"/>
    </xf>
    <xf borderId="0" fillId="0" fontId="8" numFmtId="0" xfId="0" applyFont="1"/>
    <xf borderId="0" fillId="0" fontId="8" numFmtId="164" xfId="0" applyFont="1" applyNumberFormat="1"/>
    <xf borderId="6" fillId="3" fontId="9" numFmtId="0" xfId="0" applyAlignment="1" applyBorder="1" applyFill="1" applyFont="1">
      <alignment horizontal="center" vertical="center"/>
    </xf>
    <xf borderId="1" fillId="3" fontId="9" numFmtId="0" xfId="0" applyAlignment="1" applyBorder="1" applyFont="1">
      <alignment horizontal="center" vertical="center"/>
    </xf>
    <xf borderId="7" fillId="0" fontId="7" numFmtId="0" xfId="0" applyBorder="1" applyFont="1"/>
    <xf borderId="1" fillId="3" fontId="9" numFmtId="0" xfId="0" applyAlignment="1" applyBorder="1" applyFont="1">
      <alignment horizontal="center" shrinkToFit="0" wrapText="1"/>
    </xf>
    <xf borderId="6" fillId="3" fontId="9" numFmtId="0" xfId="0" applyAlignment="1" applyBorder="1" applyFont="1">
      <alignment horizontal="center" shrinkToFit="0" vertical="center" wrapText="1"/>
    </xf>
    <xf borderId="1" fillId="3" fontId="9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0" fillId="0" fontId="8" numFmtId="164" xfId="0" applyAlignment="1" applyFont="1" applyNumberFormat="1">
      <alignment horizontal="center" vertical="center"/>
    </xf>
    <xf borderId="8" fillId="0" fontId="5" numFmtId="0" xfId="0" applyAlignment="1" applyBorder="1" applyFont="1">
      <alignment horizontal="center" vertical="center"/>
    </xf>
    <xf borderId="9" fillId="0" fontId="5" numFmtId="0" xfId="0" applyAlignment="1" applyBorder="1" applyFont="1">
      <alignment horizontal="left" vertical="center"/>
    </xf>
    <xf borderId="10" fillId="0" fontId="7" numFmtId="0" xfId="0" applyBorder="1" applyFont="1"/>
    <xf borderId="0" fillId="0" fontId="5" numFmtId="0" xfId="0" applyAlignment="1" applyFont="1">
      <alignment horizontal="center" shrinkToFit="0" wrapText="1"/>
    </xf>
    <xf borderId="0" fillId="0" fontId="5" numFmtId="0" xfId="0" applyAlignment="1" applyFont="1">
      <alignment horizontal="center" shrinkToFit="0" vertical="center" wrapText="1"/>
    </xf>
    <xf borderId="11" fillId="0" fontId="5" numFmtId="165" xfId="0" applyAlignment="1" applyBorder="1" applyFont="1" applyNumberFormat="1">
      <alignment horizontal="right" shrinkToFit="0" vertical="center" wrapText="1"/>
    </xf>
    <xf borderId="0" fillId="0" fontId="5" numFmtId="166" xfId="0" applyAlignment="1" applyFont="1" applyNumberFormat="1">
      <alignment horizontal="center" vertical="center"/>
    </xf>
    <xf borderId="11" fillId="0" fontId="7" numFmtId="0" xfId="0" applyBorder="1" applyFont="1"/>
    <xf borderId="12" fillId="0" fontId="5" numFmtId="0" xfId="0" applyAlignment="1" applyBorder="1" applyFont="1">
      <alignment horizontal="center" vertical="center"/>
    </xf>
    <xf quotePrefix="1" borderId="13" fillId="0" fontId="5" numFmtId="0" xfId="0" applyAlignment="1" applyBorder="1" applyFont="1">
      <alignment horizontal="left" shrinkToFit="0" wrapText="1"/>
    </xf>
    <xf borderId="0" fillId="0" fontId="10" numFmtId="0" xfId="0" applyFont="1"/>
    <xf borderId="0" fillId="0" fontId="10" numFmtId="164" xfId="0" applyFont="1" applyNumberFormat="1"/>
    <xf borderId="12" fillId="0" fontId="2" numFmtId="0" xfId="0" applyAlignment="1" applyBorder="1" applyFont="1">
      <alignment horizontal="center" vertical="center"/>
    </xf>
    <xf borderId="13" fillId="0" fontId="2" numFmtId="0" xfId="0" applyAlignment="1" applyBorder="1" applyFont="1">
      <alignment horizontal="left" shrinkToFit="0" wrapText="1"/>
    </xf>
    <xf quotePrefix="1" borderId="0" fillId="0" fontId="2" numFmtId="0" xfId="0" applyAlignment="1" applyFont="1">
      <alignment horizontal="left" shrinkToFit="0" wrapText="1"/>
    </xf>
    <xf borderId="0" fillId="0" fontId="2" numFmtId="0" xfId="0" applyAlignment="1" applyFont="1">
      <alignment horizontal="center" shrinkToFit="0" vertical="center" wrapText="1"/>
    </xf>
    <xf quotePrefix="1" borderId="0" fillId="0" fontId="2" numFmtId="0" xfId="0" applyAlignment="1" applyFont="1">
      <alignment horizontal="center" shrinkToFit="0" vertical="center" wrapText="1"/>
    </xf>
    <xf borderId="11" fillId="0" fontId="2" numFmtId="165" xfId="0" applyAlignment="1" applyBorder="1" applyFont="1" applyNumberFormat="1">
      <alignment horizontal="right" shrinkToFit="0" vertical="center" wrapText="1"/>
    </xf>
    <xf borderId="0" fillId="0" fontId="2" numFmtId="0" xfId="0" applyAlignment="1" applyFont="1">
      <alignment horizontal="left" shrinkToFit="0" wrapText="1"/>
    </xf>
    <xf borderId="11" fillId="0" fontId="5" numFmtId="166" xfId="0" applyAlignment="1" applyBorder="1" applyFont="1" applyNumberFormat="1">
      <alignment horizontal="center" vertical="center"/>
    </xf>
    <xf quotePrefix="1" borderId="13" fillId="0" fontId="2" numFmtId="0" xfId="0" applyAlignment="1" applyBorder="1" applyFont="1">
      <alignment horizontal="left" shrinkToFit="0" wrapText="1"/>
    </xf>
    <xf borderId="0" fillId="0" fontId="2" numFmtId="165" xfId="0" applyAlignment="1" applyFont="1" applyNumberFormat="1">
      <alignment horizontal="right" shrinkToFit="0" vertical="center" wrapText="1"/>
    </xf>
    <xf borderId="13" fillId="0" fontId="5" numFmtId="0" xfId="0" applyAlignment="1" applyBorder="1" applyFont="1">
      <alignment shrinkToFit="0" wrapText="1"/>
    </xf>
    <xf quotePrefix="1" borderId="0" fillId="0" fontId="2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13" fillId="0" fontId="5" numFmtId="0" xfId="0" applyAlignment="1" applyBorder="1" applyFont="1">
      <alignment horizontal="left" shrinkToFit="0" wrapText="1"/>
    </xf>
    <xf borderId="13" fillId="0" fontId="11" numFmtId="0" xfId="0" applyAlignment="1" applyBorder="1" applyFont="1">
      <alignment horizontal="left" shrinkToFit="0" wrapText="1"/>
    </xf>
    <xf borderId="13" fillId="0" fontId="2" numFmtId="166" xfId="0" applyAlignment="1" applyBorder="1" applyFont="1" applyNumberFormat="1">
      <alignment horizontal="center" vertical="center"/>
    </xf>
    <xf borderId="0" fillId="0" fontId="2" numFmtId="166" xfId="0" applyAlignment="1" applyFont="1" applyNumberFormat="1">
      <alignment horizontal="center" vertical="center"/>
    </xf>
    <xf borderId="11" fillId="0" fontId="2" numFmtId="166" xfId="0" applyAlignment="1" applyBorder="1" applyFont="1" applyNumberFormat="1">
      <alignment horizontal="center" vertical="center"/>
    </xf>
    <xf borderId="14" fillId="0" fontId="2" numFmtId="0" xfId="0" applyAlignment="1" applyBorder="1" applyFont="1">
      <alignment horizontal="center" vertical="top"/>
    </xf>
    <xf borderId="15" fillId="0" fontId="2" numFmtId="0" xfId="0" applyAlignment="1" applyBorder="1" applyFont="1">
      <alignment horizontal="center" shrinkToFit="0" wrapText="1"/>
    </xf>
    <xf borderId="16" fillId="0" fontId="7" numFmtId="0" xfId="0" applyBorder="1" applyFont="1"/>
    <xf borderId="17" fillId="0" fontId="7" numFmtId="0" xfId="0" applyBorder="1" applyFont="1"/>
    <xf borderId="18" fillId="0" fontId="2" numFmtId="166" xfId="0" applyAlignment="1" applyBorder="1" applyFont="1" applyNumberFormat="1">
      <alignment horizontal="center" vertical="center"/>
    </xf>
    <xf borderId="19" fillId="0" fontId="7" numFmtId="0" xfId="0" applyBorder="1" applyFont="1"/>
    <xf borderId="20" fillId="0" fontId="7" numFmtId="0" xfId="0" applyBorder="1" applyFont="1"/>
    <xf borderId="0" fillId="0" fontId="12" numFmtId="0" xfId="0" applyAlignment="1" applyFont="1">
      <alignment horizontal="left" vertical="top"/>
    </xf>
    <xf borderId="13" fillId="0" fontId="5" numFmtId="0" xfId="0" applyBorder="1" applyFont="1"/>
    <xf borderId="0" fillId="0" fontId="5" numFmtId="0" xfId="0" applyFont="1"/>
    <xf borderId="21" fillId="3" fontId="13" numFmtId="0" xfId="0" applyAlignment="1" applyBorder="1" applyFont="1">
      <alignment horizontal="left" vertical="center"/>
    </xf>
    <xf borderId="22" fillId="0" fontId="7" numFmtId="0" xfId="0" applyBorder="1" applyFont="1"/>
    <xf borderId="23" fillId="2" fontId="5" numFmtId="166" xfId="0" applyAlignment="1" applyBorder="1" applyFont="1" applyNumberFormat="1">
      <alignment horizontal="center" vertical="center"/>
    </xf>
    <xf borderId="24" fillId="0" fontId="7" numFmtId="0" xfId="0" applyBorder="1" applyFont="1"/>
    <xf borderId="25" fillId="0" fontId="7" numFmtId="0" xfId="0" applyBorder="1" applyFont="1"/>
    <xf borderId="0" fillId="0" fontId="5" numFmtId="0" xfId="0" applyAlignment="1" applyFont="1">
      <alignment horizontal="left" vertical="center"/>
    </xf>
    <xf borderId="0" fillId="0" fontId="5" numFmtId="166" xfId="0" applyAlignment="1" applyFont="1" applyNumberFormat="1">
      <alignment vertical="center"/>
    </xf>
    <xf borderId="15" fillId="0" fontId="5" numFmtId="0" xfId="0" applyBorder="1" applyFont="1"/>
    <xf borderId="16" fillId="0" fontId="5" numFmtId="0" xfId="0" applyBorder="1" applyFont="1"/>
    <xf borderId="26" fillId="3" fontId="13" numFmtId="0" xfId="0" applyAlignment="1" applyBorder="1" applyFont="1">
      <alignment horizontal="left" vertical="center"/>
    </xf>
    <xf borderId="27" fillId="0" fontId="7" numFmtId="0" xfId="0" applyBorder="1" applyFont="1"/>
    <xf borderId="26" fillId="2" fontId="5" numFmtId="166" xfId="0" applyAlignment="1" applyBorder="1" applyFont="1" applyNumberFormat="1">
      <alignment vertical="center"/>
    </xf>
    <xf borderId="28" fillId="0" fontId="7" numFmtId="0" xfId="0" applyBorder="1" applyFont="1"/>
    <xf borderId="29" fillId="0" fontId="7" numFmtId="0" xfId="0" applyBorder="1" applyFont="1"/>
    <xf borderId="0" fillId="0" fontId="13" numFmtId="0" xfId="0" applyAlignment="1" applyFont="1">
      <alignment horizontal="left" vertical="center"/>
    </xf>
    <xf borderId="0" fillId="0" fontId="13" numFmtId="167" xfId="0" applyAlignment="1" applyFont="1" applyNumberFormat="1">
      <alignment vertical="center"/>
    </xf>
    <xf borderId="0" fillId="0" fontId="13" numFmtId="0" xfId="0" applyAlignment="1" applyFont="1">
      <alignment vertical="center"/>
    </xf>
    <xf borderId="30" fillId="2" fontId="5" numFmtId="0" xfId="0" applyBorder="1" applyFont="1"/>
    <xf borderId="30" fillId="2" fontId="2" numFmtId="0" xfId="0" applyBorder="1" applyFont="1"/>
    <xf quotePrefix="1" borderId="0" fillId="0" fontId="14" numFmtId="0" xfId="0" applyAlignment="1" applyFont="1">
      <alignment horizontal="left"/>
    </xf>
    <xf borderId="0" fillId="0" fontId="11" numFmtId="0" xfId="0" applyAlignment="1" applyFont="1">
      <alignment horizontal="left"/>
    </xf>
    <xf borderId="0" fillId="0" fontId="2" numFmtId="9" xfId="0" applyAlignment="1" applyFont="1" applyNumberFormat="1">
      <alignment horizontal="left"/>
    </xf>
    <xf borderId="0" fillId="0" fontId="11" numFmtId="0" xfId="0" applyFont="1"/>
    <xf borderId="0" fillId="0" fontId="2" numFmtId="0" xfId="0" applyAlignment="1" applyFont="1">
      <alignment horizontal="center" vertical="center"/>
    </xf>
    <xf quotePrefix="1" borderId="0" fillId="0" fontId="14" numFmtId="0" xfId="0" applyAlignment="1" applyFont="1">
      <alignment horizontal="left" vertical="center"/>
    </xf>
    <xf borderId="30" fillId="2" fontId="11" numFmtId="0" xfId="0" applyBorder="1" applyFont="1"/>
    <xf borderId="0" fillId="0" fontId="15" numFmtId="0" xfId="0" applyAlignment="1" applyFont="1">
      <alignment horizontal="left"/>
    </xf>
    <xf borderId="0" fillId="0" fontId="16" numFmtId="0" xfId="0" applyAlignment="1" applyFont="1">
      <alignment horizontal="left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400800" cy="13335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76200</xdr:colOff>
      <xdr:row>46</xdr:row>
      <xdr:rowOff>142875</xdr:rowOff>
    </xdr:from>
    <xdr:ext cx="1495425" cy="81915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pravensound741@gmail.com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8.86"/>
    <col customWidth="1" min="2" max="2" width="1.29"/>
    <col customWidth="1" min="3" max="3" width="37.0"/>
    <col customWidth="1" min="4" max="4" width="4.0"/>
    <col customWidth="1" min="5" max="5" width="3.86"/>
    <col customWidth="1" min="6" max="6" width="4.0"/>
    <col customWidth="1" min="7" max="7" width="11.14"/>
    <col customWidth="1" min="8" max="8" width="1.71"/>
    <col customWidth="1" min="9" max="9" width="2.0"/>
    <col customWidth="1" min="10" max="10" width="22.57"/>
    <col customWidth="1" min="11" max="11" width="9.14"/>
    <col customWidth="1" min="12" max="12" width="11.71"/>
    <col customWidth="1" min="13" max="13" width="16.14"/>
    <col customWidth="1" min="14" max="26" width="9.14"/>
  </cols>
  <sheetData>
    <row r="1" ht="21.0" customHeight="1">
      <c r="A1" s="1"/>
      <c r="K1" s="2"/>
      <c r="L1" s="3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1.0" customHeight="1">
      <c r="K2" s="2"/>
      <c r="L2" s="3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1.0" customHeight="1">
      <c r="K3" s="2"/>
      <c r="L3" s="3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1.0" customHeight="1">
      <c r="K4" s="2"/>
      <c r="L4" s="3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1.0" customHeight="1">
      <c r="K5" s="2"/>
      <c r="L5" s="3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4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2"/>
      <c r="L6" s="3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0" customHeight="1">
      <c r="A7" s="4" t="s">
        <v>0</v>
      </c>
      <c r="B7" s="5" t="s">
        <v>1</v>
      </c>
      <c r="C7" s="5" t="s">
        <v>2</v>
      </c>
      <c r="D7" s="6"/>
      <c r="E7" s="6"/>
      <c r="F7" s="6"/>
      <c r="G7" s="6"/>
      <c r="H7" s="6"/>
      <c r="I7" s="6"/>
      <c r="J7" s="7"/>
      <c r="K7" s="2"/>
      <c r="L7" s="3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4" t="s">
        <v>3</v>
      </c>
      <c r="B8" s="4" t="s">
        <v>1</v>
      </c>
      <c r="C8" s="4" t="s">
        <v>4</v>
      </c>
      <c r="G8" s="4" t="s">
        <v>5</v>
      </c>
      <c r="H8" s="4" t="s">
        <v>1</v>
      </c>
      <c r="I8" s="5" t="s">
        <v>6</v>
      </c>
      <c r="K8" s="2"/>
      <c r="L8" s="3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4" t="s">
        <v>7</v>
      </c>
      <c r="B9" s="4" t="s">
        <v>1</v>
      </c>
      <c r="C9" s="4"/>
      <c r="G9" s="4" t="s">
        <v>8</v>
      </c>
      <c r="H9" s="4" t="s">
        <v>1</v>
      </c>
      <c r="I9" s="8" t="s">
        <v>9</v>
      </c>
      <c r="K9" s="2"/>
      <c r="L9" s="3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4" t="s">
        <v>10</v>
      </c>
      <c r="B10" s="4" t="s">
        <v>1</v>
      </c>
      <c r="C10" s="9"/>
      <c r="D10" s="9"/>
      <c r="E10" s="9"/>
      <c r="F10" s="4"/>
      <c r="G10" s="4" t="s">
        <v>10</v>
      </c>
      <c r="H10" s="4" t="s">
        <v>1</v>
      </c>
      <c r="I10" s="10" t="s">
        <v>11</v>
      </c>
      <c r="K10" s="2"/>
      <c r="L10" s="3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4" t="s">
        <v>8</v>
      </c>
      <c r="B11" s="4" t="s">
        <v>1</v>
      </c>
      <c r="C11" s="11" t="s">
        <v>12</v>
      </c>
      <c r="G11" s="4" t="s">
        <v>13</v>
      </c>
      <c r="H11" s="4" t="s">
        <v>1</v>
      </c>
      <c r="I11" s="12" t="s">
        <v>14</v>
      </c>
      <c r="K11" s="2"/>
      <c r="L11" s="3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4" t="s">
        <v>15</v>
      </c>
      <c r="B12" s="4" t="s">
        <v>1</v>
      </c>
      <c r="C12" s="4" t="s">
        <v>16</v>
      </c>
      <c r="G12" s="4"/>
      <c r="H12" s="4"/>
      <c r="I12" s="12">
        <v>6.110252194E9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4"/>
      <c r="B13" s="4"/>
      <c r="C13" s="13" t="s">
        <v>17</v>
      </c>
      <c r="G13" s="4"/>
      <c r="H13" s="4"/>
      <c r="I13" s="14" t="s">
        <v>18</v>
      </c>
      <c r="K13" s="2"/>
      <c r="L13" s="3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6.75" customHeight="1">
      <c r="A14" s="2"/>
      <c r="B14" s="2"/>
      <c r="C14" s="15"/>
      <c r="D14" s="15"/>
      <c r="E14" s="15"/>
      <c r="F14" s="15"/>
      <c r="G14" s="2"/>
      <c r="H14" s="2"/>
      <c r="I14" s="16"/>
      <c r="J14" s="16"/>
      <c r="K14" s="2"/>
      <c r="L14" s="3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17" t="s">
        <v>19</v>
      </c>
      <c r="B15" s="18"/>
      <c r="C15" s="18"/>
      <c r="D15" s="18"/>
      <c r="E15" s="18"/>
      <c r="F15" s="18"/>
      <c r="G15" s="18"/>
      <c r="H15" s="19"/>
      <c r="I15" s="20"/>
      <c r="J15" s="21" t="s">
        <v>20</v>
      </c>
      <c r="K15" s="22"/>
      <c r="L15" s="23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12.75" customHeight="1">
      <c r="A16" s="24" t="s">
        <v>21</v>
      </c>
      <c r="B16" s="25" t="s">
        <v>22</v>
      </c>
      <c r="C16" s="26"/>
      <c r="D16" s="27" t="s">
        <v>23</v>
      </c>
      <c r="E16" s="26"/>
      <c r="F16" s="28" t="s">
        <v>24</v>
      </c>
      <c r="G16" s="28" t="s">
        <v>25</v>
      </c>
      <c r="H16" s="29" t="s">
        <v>26</v>
      </c>
      <c r="I16" s="18"/>
      <c r="J16" s="26"/>
      <c r="K16" s="30"/>
      <c r="L16" s="31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ht="12.75" customHeight="1">
      <c r="A17" s="32"/>
      <c r="B17" s="33"/>
      <c r="C17" s="34"/>
      <c r="D17" s="35"/>
      <c r="E17" s="35"/>
      <c r="F17" s="36"/>
      <c r="G17" s="37"/>
      <c r="H17" s="38"/>
      <c r="J17" s="39"/>
      <c r="K17" s="30"/>
      <c r="L17" s="31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ht="12.0" customHeight="1">
      <c r="A18" s="40">
        <v>1.0</v>
      </c>
      <c r="B18" s="41" t="s">
        <v>27</v>
      </c>
      <c r="D18" s="36"/>
      <c r="E18" s="36"/>
      <c r="F18" s="36"/>
      <c r="G18" s="37"/>
      <c r="H18" s="38"/>
      <c r="J18" s="39"/>
      <c r="K18" s="42"/>
      <c r="L18" s="43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ht="12.0" customHeight="1">
      <c r="A19" s="44"/>
      <c r="B19" s="45"/>
      <c r="C19" s="46" t="s">
        <v>28</v>
      </c>
      <c r="D19" s="47">
        <v>1.0</v>
      </c>
      <c r="E19" s="48" t="s">
        <v>29</v>
      </c>
      <c r="F19" s="47">
        <v>1.0</v>
      </c>
      <c r="G19" s="49">
        <v>750000.0</v>
      </c>
      <c r="H19" s="38">
        <f t="shared" ref="H19:H20" si="1">G19*D19*F19</f>
        <v>750000</v>
      </c>
      <c r="J19" s="39"/>
      <c r="K19" s="42"/>
      <c r="L19" s="43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ht="12.0" customHeight="1">
      <c r="A20" s="44"/>
      <c r="B20" s="45"/>
      <c r="C20" s="46" t="s">
        <v>30</v>
      </c>
      <c r="D20" s="47">
        <v>1.0</v>
      </c>
      <c r="E20" s="48" t="s">
        <v>29</v>
      </c>
      <c r="F20" s="47">
        <v>1.0</v>
      </c>
      <c r="G20" s="49">
        <v>300000.0</v>
      </c>
      <c r="H20" s="38">
        <f t="shared" si="1"/>
        <v>300000</v>
      </c>
      <c r="J20" s="39"/>
      <c r="K20" s="42"/>
      <c r="L20" s="43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ht="12.0" customHeight="1">
      <c r="A21" s="44"/>
      <c r="B21" s="45"/>
      <c r="C21" s="50"/>
      <c r="D21" s="47"/>
      <c r="E21" s="47"/>
      <c r="F21" s="47"/>
      <c r="G21" s="49"/>
      <c r="H21" s="38"/>
      <c r="I21" s="38"/>
      <c r="J21" s="51"/>
      <c r="K21" s="42"/>
      <c r="L21" s="43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ht="12.0" customHeight="1">
      <c r="A22" s="44">
        <v>2.0</v>
      </c>
      <c r="B22" s="52" t="s">
        <v>31</v>
      </c>
      <c r="D22" s="47"/>
      <c r="E22" s="47"/>
      <c r="F22" s="47"/>
      <c r="G22" s="49"/>
      <c r="H22" s="38"/>
      <c r="I22" s="38"/>
      <c r="J22" s="51"/>
      <c r="K22" s="42"/>
      <c r="L22" s="43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ht="12.0" customHeight="1">
      <c r="A23" s="44"/>
      <c r="B23" s="45"/>
      <c r="C23" s="46" t="s">
        <v>28</v>
      </c>
      <c r="D23" s="47">
        <v>2.0</v>
      </c>
      <c r="E23" s="48" t="s">
        <v>29</v>
      </c>
      <c r="F23" s="47">
        <v>1.0</v>
      </c>
      <c r="G23" s="49">
        <v>750000.0</v>
      </c>
      <c r="H23" s="38">
        <f>G23*D23*F23</f>
        <v>1500000</v>
      </c>
      <c r="J23" s="39"/>
      <c r="K23" s="42"/>
      <c r="L23" s="43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ht="12.0" customHeight="1">
      <c r="A24" s="44"/>
      <c r="B24" s="45"/>
      <c r="C24" s="50"/>
      <c r="D24" s="47"/>
      <c r="E24" s="47"/>
      <c r="F24" s="47"/>
      <c r="G24" s="49"/>
      <c r="H24" s="38"/>
      <c r="J24" s="39"/>
      <c r="K24" s="42"/>
      <c r="L24" s="43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ht="12.0" customHeight="1">
      <c r="A25" s="44">
        <v>3.0</v>
      </c>
      <c r="B25" s="52" t="s">
        <v>32</v>
      </c>
      <c r="D25" s="47"/>
      <c r="E25" s="47"/>
      <c r="F25" s="47"/>
      <c r="G25" s="49"/>
      <c r="H25" s="38"/>
      <c r="J25" s="39"/>
      <c r="K25" s="42"/>
      <c r="L25" s="43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ht="12.0" customHeight="1">
      <c r="A26" s="44"/>
      <c r="B26" s="45"/>
      <c r="C26" s="46" t="s">
        <v>28</v>
      </c>
      <c r="D26" s="47">
        <v>2.0</v>
      </c>
      <c r="E26" s="48" t="s">
        <v>29</v>
      </c>
      <c r="F26" s="47">
        <v>1.0</v>
      </c>
      <c r="G26" s="49">
        <v>750000.0</v>
      </c>
      <c r="H26" s="38">
        <f t="shared" ref="H26:H29" si="2">G26*D26*F26</f>
        <v>1500000</v>
      </c>
      <c r="J26" s="39"/>
      <c r="K26" s="42"/>
      <c r="L26" s="43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ht="12.0" customHeight="1">
      <c r="A27" s="44"/>
      <c r="B27" s="45"/>
      <c r="C27" s="46" t="s">
        <v>33</v>
      </c>
      <c r="D27" s="47">
        <v>1.0</v>
      </c>
      <c r="E27" s="48" t="s">
        <v>34</v>
      </c>
      <c r="F27" s="47">
        <v>1.0</v>
      </c>
      <c r="G27" s="49">
        <v>5000000.0</v>
      </c>
      <c r="H27" s="38">
        <f t="shared" si="2"/>
        <v>5000000</v>
      </c>
      <c r="J27" s="39"/>
      <c r="K27" s="42"/>
      <c r="L27" s="43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ht="12.0" customHeight="1">
      <c r="A28" s="44"/>
      <c r="B28" s="45"/>
      <c r="C28" s="46" t="s">
        <v>35</v>
      </c>
      <c r="D28" s="47">
        <v>1.0</v>
      </c>
      <c r="E28" s="48" t="s">
        <v>34</v>
      </c>
      <c r="F28" s="47">
        <v>1.0</v>
      </c>
      <c r="G28" s="49">
        <v>1000000.0</v>
      </c>
      <c r="H28" s="38">
        <f t="shared" si="2"/>
        <v>1000000</v>
      </c>
      <c r="J28" s="39"/>
      <c r="K28" s="42"/>
      <c r="L28" s="43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ht="12.0" customHeight="1">
      <c r="A29" s="44"/>
      <c r="B29" s="45"/>
      <c r="C29" s="46" t="s">
        <v>36</v>
      </c>
      <c r="D29" s="47">
        <v>2.0</v>
      </c>
      <c r="E29" s="48" t="s">
        <v>29</v>
      </c>
      <c r="F29" s="47">
        <v>1.0</v>
      </c>
      <c r="G29" s="49">
        <v>250000.0</v>
      </c>
      <c r="H29" s="38">
        <f t="shared" si="2"/>
        <v>500000</v>
      </c>
      <c r="J29" s="39"/>
      <c r="K29" s="42"/>
      <c r="L29" s="43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ht="12.0" customHeight="1">
      <c r="A30" s="44"/>
      <c r="B30" s="45"/>
      <c r="C30" s="50"/>
      <c r="D30" s="47"/>
      <c r="E30" s="47"/>
      <c r="F30" s="47"/>
      <c r="G30" s="53"/>
      <c r="H30" s="38"/>
      <c r="J30" s="39"/>
      <c r="K30" s="42"/>
      <c r="L30" s="43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ht="12.0" customHeight="1">
      <c r="A31" s="44">
        <v>4.0</v>
      </c>
      <c r="B31" s="45"/>
      <c r="C31" s="46" t="s">
        <v>37</v>
      </c>
      <c r="D31" s="47">
        <v>1.0</v>
      </c>
      <c r="E31" s="48" t="s">
        <v>29</v>
      </c>
      <c r="F31" s="47">
        <v>1.0</v>
      </c>
      <c r="G31" s="53">
        <v>100000.0</v>
      </c>
      <c r="H31" s="38">
        <f>G31*D31*F31</f>
        <v>100000</v>
      </c>
      <c r="J31" s="39"/>
      <c r="K31" s="42"/>
      <c r="L31" s="43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ht="12.0" customHeight="1">
      <c r="A32" s="44"/>
      <c r="B32" s="45"/>
      <c r="C32" s="50"/>
      <c r="D32" s="47"/>
      <c r="E32" s="47"/>
      <c r="F32" s="47"/>
      <c r="G32" s="53"/>
      <c r="H32" s="38"/>
      <c r="I32" s="38"/>
      <c r="J32" s="51"/>
      <c r="K32" s="42"/>
      <c r="L32" s="43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ht="12.0" customHeight="1">
      <c r="A33" s="44">
        <v>5.0</v>
      </c>
      <c r="B33" s="52" t="s">
        <v>38</v>
      </c>
      <c r="D33" s="47"/>
      <c r="E33" s="47"/>
      <c r="F33" s="47"/>
      <c r="G33" s="53"/>
      <c r="H33" s="38"/>
      <c r="I33" s="38"/>
      <c r="J33" s="51"/>
      <c r="K33" s="42"/>
      <c r="L33" s="43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ht="12.0" customHeight="1">
      <c r="A34" s="44"/>
      <c r="B34" s="45"/>
      <c r="C34" s="46" t="s">
        <v>39</v>
      </c>
      <c r="D34" s="47">
        <v>1.0</v>
      </c>
      <c r="E34" s="48" t="s">
        <v>34</v>
      </c>
      <c r="F34" s="47">
        <v>1.0</v>
      </c>
      <c r="G34" s="53">
        <v>5000000.0</v>
      </c>
      <c r="H34" s="38">
        <f t="shared" ref="H34:H35" si="3">G34*D34*F34</f>
        <v>5000000</v>
      </c>
      <c r="J34" s="39"/>
      <c r="K34" s="42"/>
      <c r="L34" s="43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ht="12.0" customHeight="1">
      <c r="A35" s="40"/>
      <c r="B35" s="54"/>
      <c r="C35" s="55" t="s">
        <v>40</v>
      </c>
      <c r="D35" s="47">
        <v>1.0</v>
      </c>
      <c r="E35" s="48" t="s">
        <v>34</v>
      </c>
      <c r="F35" s="47">
        <v>1.0</v>
      </c>
      <c r="G35" s="49">
        <v>1000000.0</v>
      </c>
      <c r="H35" s="38">
        <f t="shared" si="3"/>
        <v>1000000</v>
      </c>
      <c r="J35" s="39"/>
      <c r="K35" s="42"/>
      <c r="L35" s="43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ht="12.0" customHeight="1">
      <c r="A36" s="40"/>
      <c r="B36" s="54"/>
      <c r="C36" s="56"/>
      <c r="D36" s="47"/>
      <c r="E36" s="47"/>
      <c r="F36" s="47"/>
      <c r="G36" s="49"/>
      <c r="H36" s="38"/>
      <c r="I36" s="38"/>
      <c r="J36" s="51"/>
      <c r="K36" s="42"/>
      <c r="L36" s="43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ht="12.0" customHeight="1">
      <c r="A37" s="40">
        <v>6.0</v>
      </c>
      <c r="B37" s="54"/>
      <c r="C37" s="55" t="s">
        <v>41</v>
      </c>
      <c r="D37" s="47"/>
      <c r="E37" s="47"/>
      <c r="F37" s="47"/>
      <c r="G37" s="49"/>
      <c r="H37" s="38"/>
      <c r="I37" s="38"/>
      <c r="J37" s="51"/>
      <c r="K37" s="42"/>
      <c r="L37" s="43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ht="12.0" customHeight="1">
      <c r="A38" s="40"/>
      <c r="B38" s="54"/>
      <c r="C38" s="55" t="s">
        <v>42</v>
      </c>
      <c r="D38" s="47">
        <v>1.0</v>
      </c>
      <c r="E38" s="48" t="s">
        <v>29</v>
      </c>
      <c r="F38" s="47">
        <v>1.0</v>
      </c>
      <c r="G38" s="49">
        <v>750000.0</v>
      </c>
      <c r="H38" s="38"/>
      <c r="I38" s="38"/>
      <c r="J38" s="51">
        <v>750000.0</v>
      </c>
      <c r="K38" s="42"/>
      <c r="L38" s="43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ht="12.0" customHeight="1">
      <c r="A39" s="40"/>
      <c r="B39" s="57"/>
      <c r="D39" s="36"/>
      <c r="E39" s="36"/>
      <c r="F39" s="36"/>
      <c r="G39" s="37"/>
      <c r="H39" s="38"/>
      <c r="J39" s="39"/>
      <c r="K39" s="42"/>
      <c r="L39" s="43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ht="12.0" customHeight="1">
      <c r="A40" s="44"/>
      <c r="B40" s="58"/>
      <c r="D40" s="47"/>
      <c r="E40" s="47"/>
      <c r="F40" s="47"/>
      <c r="G40" s="53"/>
      <c r="H40" s="59"/>
      <c r="I40" s="60"/>
      <c r="J40" s="61"/>
      <c r="K40" s="42"/>
      <c r="L40" s="43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ht="12.75" customHeight="1">
      <c r="A41" s="62"/>
      <c r="B41" s="63"/>
      <c r="C41" s="64"/>
      <c r="D41" s="64"/>
      <c r="E41" s="64"/>
      <c r="F41" s="64"/>
      <c r="G41" s="65"/>
      <c r="H41" s="66"/>
      <c r="I41" s="67"/>
      <c r="J41" s="68"/>
      <c r="K41" s="42"/>
      <c r="L41" s="69"/>
      <c r="M41" s="4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ht="12.75" customHeight="1">
      <c r="A42" s="70"/>
      <c r="B42" s="71"/>
      <c r="C42" s="71"/>
      <c r="D42" s="71"/>
      <c r="E42" s="71"/>
      <c r="F42" s="72" t="s">
        <v>43</v>
      </c>
      <c r="G42" s="73"/>
      <c r="H42" s="74">
        <f>SUM(H17:J41)</f>
        <v>17400000</v>
      </c>
      <c r="I42" s="75"/>
      <c r="J42" s="76"/>
      <c r="K42" s="42"/>
      <c r="L42" s="69"/>
      <c r="M42" s="4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ht="12.75" customHeight="1">
      <c r="A43" s="70"/>
      <c r="B43" s="77" t="s">
        <v>44</v>
      </c>
      <c r="H43" s="78">
        <v>5000000.0</v>
      </c>
      <c r="J43" s="39"/>
      <c r="K43" s="42"/>
      <c r="L43" s="69"/>
      <c r="M43" s="4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ht="12.75" customHeight="1">
      <c r="A44" s="79"/>
      <c r="B44" s="80"/>
      <c r="C44" s="80"/>
      <c r="D44" s="80"/>
      <c r="E44" s="80"/>
      <c r="F44" s="81" t="s">
        <v>45</v>
      </c>
      <c r="G44" s="82"/>
      <c r="H44" s="83">
        <f>H42-H43</f>
        <v>12400000</v>
      </c>
      <c r="I44" s="84"/>
      <c r="J44" s="85"/>
      <c r="K44" s="42"/>
      <c r="L44" s="43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ht="4.5" customHeight="1">
      <c r="A45" s="71"/>
      <c r="B45" s="71"/>
      <c r="C45" s="71"/>
      <c r="D45" s="71"/>
      <c r="E45" s="71"/>
      <c r="F45" s="86"/>
      <c r="G45" s="86"/>
      <c r="H45" s="87"/>
      <c r="I45" s="88"/>
      <c r="J45" s="88"/>
      <c r="K45" s="42"/>
      <c r="L45" s="43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ht="15.0" customHeight="1">
      <c r="A46" s="89" t="s">
        <v>46</v>
      </c>
      <c r="B46" s="90" t="s">
        <v>1</v>
      </c>
      <c r="C46" s="91" t="s">
        <v>47</v>
      </c>
      <c r="D46" s="92"/>
      <c r="E46" s="92"/>
      <c r="F46" s="86"/>
      <c r="G46" s="86"/>
      <c r="H46" s="12"/>
      <c r="I46" s="12"/>
      <c r="J46" s="4" t="s">
        <v>48</v>
      </c>
      <c r="K46" s="22"/>
      <c r="L46" s="23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12.75" customHeight="1">
      <c r="A47" s="4"/>
      <c r="B47" s="4">
        <v>1.0</v>
      </c>
      <c r="C47" s="91" t="s">
        <v>49</v>
      </c>
      <c r="D47" s="92"/>
      <c r="E47" s="92"/>
      <c r="F47" s="93"/>
      <c r="G47" s="12"/>
      <c r="H47" s="94"/>
      <c r="I47" s="94"/>
      <c r="J47" s="95" t="s">
        <v>50</v>
      </c>
      <c r="K47" s="22"/>
      <c r="L47" s="23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15.0" customHeight="1">
      <c r="A48" s="4"/>
      <c r="B48" s="4">
        <f>B47+1</f>
        <v>2</v>
      </c>
      <c r="C48" s="96" t="s">
        <v>51</v>
      </c>
      <c r="D48" s="92"/>
      <c r="E48" s="92"/>
      <c r="F48" s="94"/>
      <c r="G48" s="94"/>
      <c r="H48" s="4"/>
      <c r="I48" s="4"/>
      <c r="J48" s="4"/>
      <c r="K48" s="22"/>
      <c r="L48" s="23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15.0" customHeight="1">
      <c r="A49" s="4"/>
      <c r="B49" s="4"/>
      <c r="D49" s="92"/>
      <c r="E49" s="92"/>
      <c r="F49" s="4"/>
      <c r="G49" s="4"/>
      <c r="H49" s="4"/>
      <c r="I49" s="71"/>
      <c r="J49" s="4"/>
      <c r="K49" s="22"/>
      <c r="L49" s="23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2"/>
      <c r="L50" s="3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97" t="s">
        <v>52</v>
      </c>
      <c r="B51" s="90" t="s">
        <v>1</v>
      </c>
      <c r="C51" s="98" t="str">
        <f>PROPER("("&amp;([1]!terbilang(H42)&amp;" Rupiah"&amp;" )"))</f>
        <v>#ERROR!</v>
      </c>
      <c r="D51" s="92"/>
      <c r="E51" s="92"/>
      <c r="F51" s="4"/>
      <c r="G51" s="4"/>
      <c r="H51" s="4"/>
      <c r="I51" s="4"/>
      <c r="J51" s="4"/>
      <c r="K51" s="2"/>
      <c r="L51" s="3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99"/>
      <c r="D52" s="99"/>
      <c r="E52" s="99"/>
      <c r="F52" s="2"/>
      <c r="G52" s="2"/>
      <c r="H52" s="2"/>
      <c r="I52" s="2"/>
      <c r="J52" s="2"/>
      <c r="K52" s="2"/>
      <c r="L52" s="3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100" t="s">
        <v>53</v>
      </c>
      <c r="K53" s="2"/>
      <c r="L53" s="3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3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30"/>
      <c r="K55" s="2"/>
      <c r="L55" s="3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3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3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3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3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3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3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3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3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3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3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3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3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3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3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3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3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3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3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3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3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3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3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3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3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3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3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3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3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3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3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3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3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3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3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3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3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3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3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3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3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3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3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3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3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3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3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3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3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3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3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3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3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3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3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3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3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3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3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3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3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3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3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3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3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3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3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3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3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3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3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3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3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3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3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3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3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3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3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3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3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3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3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3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3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3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3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3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3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3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3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3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3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3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3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3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3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3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3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3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3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3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3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3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3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3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3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3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3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3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3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3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3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3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3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3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3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3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3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3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3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3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3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3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3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3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3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3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3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3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3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3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3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3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3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3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3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3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3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3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3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3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3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3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3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3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3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3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3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3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3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3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3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3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3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3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3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3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3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3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3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3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3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3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3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3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3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3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3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3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3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3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3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3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3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3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3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3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3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3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3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3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3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3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3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3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3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3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3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3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3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3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3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3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3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3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3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3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3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3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3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3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3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3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3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3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3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3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3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3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3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3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3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3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3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3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3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3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3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3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3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3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3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3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3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3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3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3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3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3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3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3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3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3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3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3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3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3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3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3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3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3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3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3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3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3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3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3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3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3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3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3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3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3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3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3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3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3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3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3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3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3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3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3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3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3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3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3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3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3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3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3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3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3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3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3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3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3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3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3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3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3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3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3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3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3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3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3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3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3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3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3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3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3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3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3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3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3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3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3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3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3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3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3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3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3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3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3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3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3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3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3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3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3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3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3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3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3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3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3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3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3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3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3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3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3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3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3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3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3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3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3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3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3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3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3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3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3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3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3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3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3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3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3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3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3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3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3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3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3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3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3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3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3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3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3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3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3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3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3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3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3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3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3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3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3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3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3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3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3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3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3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3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3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3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3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3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3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3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3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3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3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3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3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3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3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3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3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3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3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3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3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3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3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3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3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3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3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3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3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3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3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3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3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3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3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3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3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3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3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3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3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3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3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3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3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3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3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3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3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3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3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3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3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3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3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3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3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3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3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3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3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3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3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3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3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3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3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3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3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3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3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3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3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3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3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3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3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3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3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3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3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3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3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3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3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3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3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3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3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3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3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3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3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3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3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3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3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3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3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3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3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3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3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3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3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3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3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3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3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3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3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3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3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3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3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3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3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3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3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3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3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3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3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3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3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3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3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3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3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3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3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3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3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3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3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3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3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3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3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3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3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3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3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3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3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3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3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3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3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3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3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3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3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3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3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3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3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3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3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3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3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3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3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3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3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3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3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3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3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3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3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3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3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3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3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3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3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3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3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3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3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3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3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3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3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3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3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3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3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3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3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3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3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3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3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3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3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3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3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3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3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3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3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3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3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3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3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3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3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3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3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3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3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3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3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3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3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3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3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3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3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3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3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3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3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3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3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3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3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3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3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3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3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3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3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3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3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3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3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3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3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3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3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3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3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3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3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3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3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3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3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3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3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3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3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3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3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3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3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3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3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3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3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3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3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3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3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3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3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3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3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3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3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3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3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3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3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3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3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3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3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3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3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3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3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3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3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3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3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3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3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3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3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3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3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3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3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3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3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3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3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3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3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3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3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3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3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3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3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3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3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3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3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3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3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3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3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3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3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3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3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3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3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3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3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3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3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3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3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3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3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3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3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3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3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3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3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3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3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3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3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3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3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3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3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3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3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3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3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3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3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3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3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3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3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3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3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3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3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3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3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3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3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3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3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3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3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3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3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3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3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3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3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3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3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3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3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3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3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3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3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3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3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3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3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3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3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3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3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3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3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3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3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3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3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3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3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3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3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3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3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3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3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3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3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3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3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3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3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3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3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3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3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3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3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3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3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3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3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3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3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3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3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3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3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3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3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3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3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3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3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3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3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3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3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3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3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3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3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3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3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3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3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3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3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3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3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3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3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3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3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3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3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3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3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3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3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3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3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3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3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3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3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3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3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3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3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3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3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3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3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3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3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3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3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3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3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3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3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3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3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3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3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3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3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3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3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3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3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3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3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3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3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3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3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3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3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3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3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3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3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3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3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3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3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3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3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3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3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3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3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3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3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3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3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3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3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3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3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3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3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3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3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3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3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3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3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3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3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3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3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3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3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3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3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3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3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3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3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3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3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3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3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3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3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3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3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3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3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3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3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3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3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3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3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3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3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3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3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3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3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3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3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3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3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3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3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3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3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3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3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3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3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3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3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8">
    <mergeCell ref="A1:J5"/>
    <mergeCell ref="C8:F8"/>
    <mergeCell ref="I8:J8"/>
    <mergeCell ref="C9:F9"/>
    <mergeCell ref="I9:J9"/>
    <mergeCell ref="I10:J10"/>
    <mergeCell ref="I11:J11"/>
    <mergeCell ref="D16:E16"/>
    <mergeCell ref="H16:J16"/>
    <mergeCell ref="C11:F11"/>
    <mergeCell ref="C12:F12"/>
    <mergeCell ref="I12:J12"/>
    <mergeCell ref="C13:F13"/>
    <mergeCell ref="I13:J13"/>
    <mergeCell ref="A15:H15"/>
    <mergeCell ref="B16:C16"/>
    <mergeCell ref="B17:C17"/>
    <mergeCell ref="H17:J17"/>
    <mergeCell ref="B18:C18"/>
    <mergeCell ref="H18:J18"/>
    <mergeCell ref="H19:J19"/>
    <mergeCell ref="H20:J20"/>
    <mergeCell ref="B22:C22"/>
    <mergeCell ref="H23:J23"/>
    <mergeCell ref="H24:J24"/>
    <mergeCell ref="B25:C25"/>
    <mergeCell ref="H25:J25"/>
    <mergeCell ref="H26:J26"/>
    <mergeCell ref="H27:J27"/>
    <mergeCell ref="H28:J28"/>
    <mergeCell ref="H29:J29"/>
    <mergeCell ref="H30:J30"/>
    <mergeCell ref="H31:J31"/>
    <mergeCell ref="B33:C33"/>
    <mergeCell ref="H34:J34"/>
    <mergeCell ref="H35:J35"/>
    <mergeCell ref="H39:J39"/>
    <mergeCell ref="F42:G42"/>
    <mergeCell ref="F44:G44"/>
    <mergeCell ref="C48:C49"/>
    <mergeCell ref="B39:C39"/>
    <mergeCell ref="B40:C40"/>
    <mergeCell ref="B41:G41"/>
    <mergeCell ref="H41:J41"/>
    <mergeCell ref="H42:J42"/>
    <mergeCell ref="B43:G43"/>
    <mergeCell ref="H43:J43"/>
    <mergeCell ref="H44:J44"/>
  </mergeCells>
  <hyperlinks>
    <hyperlink r:id="rId1" ref="I10"/>
  </hyperlinks>
  <printOptions horizontalCentered="1"/>
  <pageMargins bottom="0.5118110236220472" footer="0.0" header="0.0" left="0.1968503937007874" right="0.1968503937007874" top="0.5118110236220472"/>
  <pageSetup paperSize="5"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26" width="8.71"/>
  </cols>
  <sheetData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26" width="8.71"/>
  </cols>
  <sheetData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portrait"/>
  <drawing r:id="rId1"/>
</worksheet>
</file>